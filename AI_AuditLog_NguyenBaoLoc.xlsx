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5947" activeTab="3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<sst xmlns="http://schemas.openxmlformats.org/spreadsheetml/2006/main" count="357" uniqueCount="239">
  <si>
    <t>AI AUDIT LOG - METADATA &amp; SUMMARY</t>
  </si>
  <si>
    <t>STUDENT INFORMATION</t>
  </si>
  <si>
    <t>Student Name:</t>
  </si>
  <si>
    <t xml:space="preserve">Nguyễn Bảo Lộc </t>
  </si>
  <si>
    <t>Student ID:</t>
  </si>
  <si>
    <t>DE190957</t>
  </si>
  <si>
    <t>Course:</t>
  </si>
  <si>
    <t>SWR302</t>
  </si>
  <si>
    <t>Assignment:</t>
  </si>
  <si>
    <t>Travel Attraction Ticket Booking Platform</t>
  </si>
  <si>
    <t>AI USAGE SUMMARY</t>
  </si>
  <si>
    <t>Total Prompts Used (all AI tools):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</si>
  <si>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</si>
  <si>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</si>
  <si>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</si>
  <si>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</si>
  <si>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</si>
  <si>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</si>
  <si>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</si>
  <si>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</si>
  <si>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</si>
  <si>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ChatGPT</t>
  </si>
  <si>
    <t>Requirement analysis, UML/ERD checking, writing reflection</t>
  </si>
  <si>
    <t>High</t>
  </si>
  <si>
    <t>Generate alternatives and explain trade-offs</t>
  </si>
  <si>
    <t>GitHub Copilot</t>
  </si>
  <si>
    <t>Code completion and UI/API implementation support</t>
  </si>
  <si>
    <t>Medium</t>
  </si>
  <si>
    <t>Speed up repetitive coding tasks</t>
  </si>
  <si>
    <t>Gemini</t>
  </si>
  <si>
    <t>Quick comparison ideas and wording improvement</t>
  </si>
  <si>
    <t>Low</t>
  </si>
  <si>
    <t>Cross-check explanations and polish content</t>
  </si>
  <si>
    <t>Draw.io / PlantUML AI-assisted prompts</t>
  </si>
  <si>
    <t>Diagram drafting and layout suggestions</t>
  </si>
  <si>
    <t>Create faster use case and ERD drafts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</si>
  <si>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</si>
  <si>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</si>
  <si>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</si>
  <si>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</si>
  <si>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</si>
  <si>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</si>
  <si>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</si>
  <si>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</si>
  <si>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</si>
  <si>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</si>
  <si>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</si>
  <si>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</si>
  <si>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</si>
  <si>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</si>
  <si>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</si>
  <si>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</si>
  <si>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</si>
  <si>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</si>
  <si>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</si>
  <si>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</si>
  <si>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</si>
  <si>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Cần chia nhỏ nền tảng đặt vé tham quan du lịch thành các module rõ ràng để làm báo cáo SWR.</t>
  </si>
  <si>
    <t>Break down the Travel Attraction Ticket Booking Platform into suitable system modules for a semester project.</t>
  </si>
  <si>
    <t>AI suggested 8 modules including Authentication, Attraction Management, Ticket Product, Booking, Payment, Review, Support, Admin Dashboard.</t>
  </si>
  <si>
    <t>Critical Thinking: 8 module khá đầy đủ nhưng nếu trình bày quá rộng sẽ khó demo và dễ trùng chức năng.
Contextualization: Project của nhóm tập trung vào đặt vé tham quan, không phải toàn bộ travel booking như tour/hotel.
Creative Synthesis: Tôi gộp thành 5 module chính: Authentication &amp; Profile, Attraction &amp; Ticket Product, Booking &amp; Payment, Review/Support, Admin/Partner Management.
Decision: Chọn 5 module để đủ scope SWR, dễ vẽ use case và dễ triển khai demo.</t>
  </si>
  <si>
    <t>Module list in report + use case diagram screenshot</t>
  </si>
  <si>
    <t>002</t>
  </si>
  <si>
    <t>Cần xác định actor chính và tránh nhầm giữa đối tượng sử dụng với actor trong use case.</t>
  </si>
  <si>
    <t>Identify primary actors for an attraction ticket booking platform and explain their responsibilities.</t>
  </si>
  <si>
    <t>AI proposed Guest, Customer, Attraction Partner, Support Staff, Admin, Payment Gateway, Notification Service.</t>
  </si>
  <si>
    <t>Critical Thinking: Payment Gateway và Notification Service không phải người dùng chính mà là external systems.
Contextualization: Teacher yêu cầu actor trong use case diagram phải thể hiện đúng vai trò tương tác với hệ thống.
Creative Synthesis: Tôi giữ 5 actor người dùng chính và tách Payment/Notification thành supporting external systems.
Decision: Use case diagram dùng Guest, Customer, Partner, Support Staff, Admin; Payment/Notification chỉ nối với use case phù hợp.</t>
  </si>
  <si>
    <t>Actor table + system boundary screenshot</t>
  </si>
  <si>
    <t>003</t>
  </si>
  <si>
    <t>Cần đặt ranh giới hệ thống để không đưa các chức năng ngoài phạm vi vào diagram.</t>
  </si>
  <si>
    <t>Define the system boundary for the Travel Attraction Ticket Booking Platform.</t>
  </si>
  <si>
    <t>AI listed many external features such as hotel booking, flight booking, travel insurance, and transport service.</t>
  </si>
  <si>
    <t>Critical Thinking: Các chức năng hotel/flight vượt quá đề tài đặt vé tham quan.
Contextualization: Tên đề tài là Travel Attraction Ticket Booking Platform, core value là vé tham quan, QR/e-ticket và quản lý điểm tham quan.
Creative Synthesis: Tôi loại các chức năng ngoài phạm vi và chỉ giữ attraction, ticket product, booking, payment, QR validation, review, support.
Decision: System boundary được giới hạn vào attraction ticket booking để báo cáo nhất quán.</t>
  </si>
  <si>
    <t>Scope section in Word report</t>
  </si>
  <si>
    <t>004</t>
  </si>
  <si>
    <t>PROBLEM-SOLVING</t>
  </si>
  <si>
    <t>Cần tham khảo các hệ thống tương tự để rút ra tính năng phù hợp.</t>
  </si>
  <si>
    <t>Compare common booking platforms and extract feature patterns relevant to an attraction ticket booking website.</t>
  </si>
  <si>
    <t>AI summarized repeated patterns: search/filter, detail page, date selection, voucher, online payment, e-ticket, review, booking history.</t>
  </si>
  <si>
    <t>Critical Thinking: Không thể copy toàn bộ tính năng của các nền tảng lớn vì project sinh viên có giới hạn thời gian.
Contextualization: Nhóm chỉ cần các flow chứng minh được nghiệp vụ đặt vé.
Creative Synthesis: Tôi chọn các pattern có liên quan trực tiếp: search/filter, ticket selection, checkout, payment, QR ticket, review.
Decision: Các tính năng phụ như loyalty, affiliate, dynamic pricing nâng cao được để ngoài phạm vi.</t>
  </si>
  <si>
    <t>Feature comparison table in report</t>
  </si>
  <si>
    <t>005</t>
  </si>
  <si>
    <t>Cần thiết kế entity database sao cho booking, payment và ticket không bị lẫn nhau.</t>
  </si>
  <si>
    <t>Suggest the main database entities and relationships for attraction ticket booking.</t>
  </si>
  <si>
    <t>AI proposed User, Attraction, Ticket, Booking, Payment, Review, Voucher, Partner.</t>
  </si>
  <si>
    <t>Critical Thinking: Entity Ticket quá chung chung, không phân biệt loại vé bán ra và vé điện tử sau khi mua.
Contextualization: Hệ thống cần quản lý ticket product trước khi bán và e-ticket/QR sau khi booking thành công.
Creative Synthesis: Tôi tách TicketProduct, Booking, BookingDetail, PaymentTransaction, ETicket, TimeSlot.
Decision: ERD dùng các entity tách biệt để thể hiện đúng lifecycle từ sản phẩm vé đến vé điện tử.</t>
  </si>
  <si>
    <t>ERD draft + entity list</t>
  </si>
  <si>
    <t>006</t>
  </si>
  <si>
    <t>Cần xây dựng logic search/filter attraction hợp lý.</t>
  </si>
  <si>
    <t>Design a search and filter flow for attractions by destination, category, price, rating, and visit date.</t>
  </si>
  <si>
    <t>AI suggested a single SQL query with WHERE conditions for all filters.</t>
  </si>
  <si>
    <t>Critical Thinking: Một query đơn giản chưa đủ nếu có filter ngày tham quan và slot còn chỗ.
Contextualization: Người dùng phải chọn ngày/slot trước khi hệ thống báo còn vé.
Creative Synthesis: Tôi tách search text/category/price/rating và thêm availability check theo TicketProduct + TimeSlot.
Decision: Flow search dùng filter cơ bản trước, sau đó kiểm tra availability khi khách chọn ngày/slot.</t>
  </si>
  <si>
    <t>Search/filter flow + pseudo SQL notes</t>
  </si>
  <si>
    <t>007</t>
  </si>
  <si>
    <t>Cần xác định thứ tự xử lý voucher, availability và payment để tránh sai nghiệp vụ.</t>
  </si>
  <si>
    <t>What is the correct checkout order for booking tickets with voucher and online payment?</t>
  </si>
  <si>
    <t>AI suggested: choose tickets → apply voucher → pay → create booking → check availability.</t>
  </si>
  <si>
    <t>Critical Thinking: Check availability sau payment có nguy cơ khách trả tiền nhưng hết vé.
Contextualization: Hệ thống booking phải kiểm tra số lượng và giữ chỗ tạm thời trước khi chuyển qua payment.
Creative Synthesis: Tôi đổi flow thành choose ticket/date → check availability → create pending booking → apply voucher → payment → confirm booking/e-ticket.
Decision: Thiết kế checkout theo pending booking để giảm overbooking và refund lỗi.</t>
  </si>
  <si>
    <t>Checkout sequence diagram draft</t>
  </si>
  <si>
    <t>008</t>
  </si>
  <si>
    <t>VERIFICATION</t>
  </si>
  <si>
    <t>Cần kiểm tra use case include/extend có đúng UML không.</t>
  </si>
  <si>
    <t>Review my use case relationships for Register, Login, Reset Password, Payment, Apply Voucher, Receive E-ticket.</t>
  </si>
  <si>
    <t>AI said all relationships should be &lt;&lt;include&gt;&gt; because they are related.</t>
  </si>
  <si>
    <t>Critical Thinking: Không phải use case nào liên quan cũng là include; extend dùng cho optional/conditional flow.
Contextualization: Apply Voucher là tùy chọn, Reset Password xảy ra khi login thất bại/quên mật khẩu.
Creative Synthesis: Tôi chỉnh Book Ticket &lt;&lt;include&gt;&gt; Make Payment; Make Payment &lt;&lt;include&gt;&gt; Generate E-ticket; Apply Voucher &lt;&lt;extend&gt;&gt; Checkout.
Decision: Chỉ dùng include cho bước bắt buộc, extend cho bước tùy chọn hoặc điều kiện.</t>
  </si>
  <si>
    <t>Before/after use case diagram</t>
  </si>
  <si>
    <t>009</t>
  </si>
  <si>
    <t>Cần kiểm tra cardinality trong ERD cho Booking, BookingDetail và TicketProduct.</t>
  </si>
  <si>
    <t>Check the cardinalities between Customer, Booking, BookingDetail, TicketProduct, and Payment.</t>
  </si>
  <si>
    <t>AI suggested Customer 1-1 Booking and Booking 1-1 TicketProduct.</t>
  </si>
  <si>
    <t>Critical Thinking: Một customer có thể có nhiều booking và một booking có thể gồm nhiều loại vé.
Contextualization: Website bán vé thường cho phép mua nhiều ticket type trong một lần checkout.
Creative Synthesis: Tôi chỉnh thành Customer 1-N Booking, Booking 1-N BookingDetail, TicketProduct 1-N BookingDetail, Booking 1-1 PaymentTransaction.
Decision: ERD dùng BookingDetail để xử lý số lượng và loại vé chính xác.</t>
  </si>
  <si>
    <t>Crow's foot ERD screenshot</t>
  </si>
  <si>
    <t>010</t>
  </si>
  <si>
    <t>Cần tách module Authentication để demo được luồng đăng ký/đăng nhập rõ ràng.</t>
  </si>
  <si>
    <t>Design the authentication module screens and use cases for my platform.</t>
  </si>
  <si>
    <t>AI suggested Login, Register, Verify Email, Reset Password, Profile Update, Role-based redirect.</t>
  </si>
  <si>
    <t>Critical Thinking: Nếu chỉ có login/profile thì demo thiếu luồng xác thực tài khoản mới.
Contextualization: Cô yêu cầu demo tính năng authentication nên cần flow hoàn chỉnh từ đăng ký đến xác minh email.
Creative Synthesis: Tôi thiết kế 4 màn hình: Login, Register, Verify Email, Profile; reset password có thể mô tả nhưng không cần demo sâu.
Decision: Authentication demo tập trung vào Register → Verify Email → Login → Profile.</t>
  </si>
  <si>
    <t>UI flow screenshots</t>
  </si>
  <si>
    <t>011</t>
  </si>
  <si>
    <t>Cần thiết kế workflow duyệt attraction của Partner và Admin.</t>
  </si>
  <si>
    <t>Suggest status workflow for partner-created attraction listings before publishing.</t>
  </si>
  <si>
    <t>AI proposed Draft, Published, Deleted only.</t>
  </si>
  <si>
    <t>Critical Thinking: Draft/Published/Deleted thiếu bước kiểm duyệt nên không thể hiện vai trò Admin.
Contextualization: Nền tảng cần tránh partner tự đăng dịch vụ sai thông tin hoặc vi phạm.
Creative Synthesis: Tôi bổ sung Pending Approval, Approved, Rejected, Hidden, Suspended.
Decision: Partner submit listing ở Pending Approval, Admin approve/reject/hide để kiểm soát chất lượng.</t>
  </si>
  <si>
    <t>Status transition table</t>
  </si>
  <si>
    <t>012</t>
  </si>
  <si>
    <t>Cần kiểm tra đề xuất AI về quyền của Guest trong use case.</t>
  </si>
  <si>
    <t>Can Guest book attraction tickets directly without logging in?</t>
  </si>
  <si>
    <t>AI claimed Guest can complete booking and payment without account to reduce friction.</t>
  </si>
  <si>
    <t>Critical Thinking: Đây là lỗi hiểu bối cảnh; booking/payment cần gắn với user để lưu lịch sử, e-ticket và refund.
Contextualization: Use case của nhóm phân biệt Guest chỉ xem/tìm kiếm, Customer mới đặt vé.
Creative Synthesis: Tôi cho Guest chỉ Register/Login/Search/View; Book Ticket chuyển sang Customer.
Decision: Không cho Guest book trực tiếp trong use case chính.</t>
  </si>
  <si>
    <t>Use case actor correction screenshot</t>
  </si>
  <si>
    <t>013</t>
  </si>
  <si>
    <t>Cần xác minh flow thanh toán do AI đề xuất có thể gây overbooking.</t>
  </si>
  <si>
    <t>Verify whether availability should be checked before or after payment in ticket checkout.</t>
  </si>
  <si>
    <t>AI claimed availability check after payment is acceptable because payment proves intent.</t>
  </si>
  <si>
    <t>Critical Thinking: Kết luận này sai logic nghiệp vụ vì có thể thu tiền khi vé đã hết.
Contextualization: Attraction ticket cần kiểm tra quantity theo visit date/time slot trước khi redirect payment.
Creative Synthesis: Tôi thêm Pending Booking + temporary hold + payment timeout.
Decision: Availability được check trước payment và confirm sau payment success.</t>
  </si>
  <si>
    <t>Revised checkout flow diagram</t>
  </si>
  <si>
    <t>014</t>
  </si>
  <si>
    <t>Cần kiểm tra database AI đề xuất có đủ để quản lý vé điện tử/QR không.</t>
  </si>
  <si>
    <t>Is a single Ticket table enough for both ticket products and issued e-tickets?</t>
  </si>
  <si>
    <t>AI answered yes and suggested storing price, QR code, and quantity in one Ticket table.</t>
  </si>
  <si>
    <t>Critical Thinking: Một bảng Ticket duy nhất làm lẫn product template với issued ticket instance.
Contextualization: Partner tạo sản phẩm vé, còn hệ thống sinh e-ticket/QR sau khi khách thanh toán.
Creative Synthesis: Tôi tách TicketProduct để bán, BookingDetail để lưu số lượng, ETicket để lưu QR/status.
Decision: Không dùng một bảng Ticket duy nhất; tách entity để dễ validate QR và refund.</t>
  </si>
  <si>
    <t>Updated ERD entity separation</t>
  </si>
  <si>
    <t>015</t>
  </si>
  <si>
    <t>Cần lập bảng màn hình/phân quyền theo actor để báo cáo rõ hơn.</t>
  </si>
  <si>
    <t>Create a screen-access matrix for Guest, Customer, Partner, Support Staff, and Admin.</t>
  </si>
  <si>
    <t>AI generated a large screen matrix including booking, profile, partner approval, moderation, payment, and support screens.</t>
  </si>
  <si>
    <t>Critical Thinking: Ma trận quá nhiều screen nếu bê nguyên sẽ rối và có vài màn hình không cần demo.
Contextualization: Report cần chứng minh role-based access, không cần liệt kê mọi popup nhỏ.
Creative Synthesis: Tôi giữ các màn hình chính và nhóm màn hình phụ theo module.
Decision: Screen matrix tập trung vào Register/Login, Attraction, Checkout, Partner Management, Admin Approval, Support.</t>
  </si>
  <si>
    <t>Screen-access matrix table</t>
  </si>
  <si>
    <t>016</t>
  </si>
  <si>
    <t>Cần xác định test case phi chức năng cho nền tảng đặt vé.</t>
  </si>
  <si>
    <t>Generate non-functional test cases for performance, security, availability, usability, and compatibility.</t>
  </si>
  <si>
    <t>AI suggested generic tests such as 'system should be fast' and 'system should be secure'.</t>
  </si>
  <si>
    <t>Critical Thinking: Các test generic không đo được và không đủ chuẩn SWR/SWT.
Contextualization: Test case cần có precondition, steps, expected result và tiêu chí đo được.
Creative Synthesis: Tôi chuyển thành measurable criteria: response time &lt; 3s, HTTPS/TLS, role access denied, QR validation, payment timeout handling.
Decision: Dùng test case có số liệu/điều kiện rõ ràng thay cho câu mô tả chung.</t>
  </si>
  <si>
    <t>Non-functional test case table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</si>
  <si>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</si>
  <si>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</si>
  <si>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</si>
  <si>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</si>
  <si>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</si>
  <si>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</si>
  <si>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</si>
  <si>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</si>
  <si>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Context Misunderstanding</t>
  </si>
  <si>
    <t>Guest can complete booking and payment without logging in.</t>
  </si>
  <si>
    <t>Guest should only search/view. Booking, payment, history, e-ticket and refund must belong to Customer.</t>
  </si>
  <si>
    <t>Compared AI suggestion with actor responsibilities and use case diagram.</t>
  </si>
  <si>
    <t>Moved Book Ticket, Payment, Booking History and Refund use cases from Guest to Customer.</t>
  </si>
  <si>
    <t>Logic Error</t>
  </si>
  <si>
    <t>Availability can be checked after payment because payment proves intent.</t>
  </si>
  <si>
    <t>Availability must be checked before payment and held temporarily to avoid charging customers when tickets are sold out.</t>
  </si>
  <si>
    <t>Reviewed checkout sequence and overbooking risk.</t>
  </si>
  <si>
    <t>Added Check Availability before payment and Pending Booking/payment timeout step.</t>
  </si>
  <si>
    <t>Oversimplification</t>
  </si>
  <si>
    <t>A single Ticket table is enough for ticket products, quantities, QR codes and issued tickets.</t>
  </si>
  <si>
    <t>Ticket product and issued e-ticket have different lifecycle and relationships.</t>
  </si>
  <si>
    <t>Reviewed ERD cardinalities and QR validation requirement.</t>
  </si>
  <si>
    <t>Separated TicketProduct, BookingDetail and ETicket entities.</t>
  </si>
  <si>
    <t>HALLUCINATION TYPES REFERENCE:</t>
  </si>
  <si>
    <t>Type</t>
  </si>
  <si>
    <t>Definition</t>
  </si>
  <si>
    <t>Example</t>
  </si>
  <si>
    <t>Fabrication</t>
  </si>
  <si>
    <t>AI tạo ra thông tin không tồn tại</t>
  </si>
  <si>
    <t>Fake papers, fake APIs, fake data</t>
  </si>
  <si>
    <t>AI bỏ qua edge cases, exceptions</t>
  </si>
  <si>
    <t>Code không handle array rỗng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</si>
  <si>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</si>
  <si>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</si>
  <si>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</si>
  <si>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</si>
  <si>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</si>
  <si>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</si>
  <si>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</si>
  <si>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</si>
  <si>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</si>
  <si>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</si>
  <si>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</si>
  <si>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</si>
  <si>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</si>
  <si>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</si>
  <si>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</si>
  <si>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</si>
  <si>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☑</t>
  </si>
  <si>
    <t>Các entry đều gắn với quyết định/module/flow quan trọng của project.</t>
  </si>
  <si>
    <t>2</t>
  </si>
  <si>
    <t>Nếu không có prompt này, project có thay đổi về architecture/design?</t>
  </si>
  <si>
    <t>Có nhiều thay đổi về scope, actor, ERD, checkout và authentication flow.</t>
  </si>
  <si>
    <t>3</t>
  </si>
  <si>
    <t>Tôi có thể giải thích lý do chọn/không chọn gợi ý của AI?</t>
  </si>
  <si>
    <t>Mỗi entry có Critical Thinking, Contextualization, Creative Synthesis, Decision.</t>
  </si>
  <si>
    <t>4</t>
  </si>
  <si>
    <t>Có minh chứng cụ thể (code, metrics, comparison)?</t>
  </si>
  <si>
    <t>Evidence được ghi bằng screenshot, diagram, table hoặc report section.</t>
  </si>
  <si>
    <t>5</t>
  </si>
  <si>
    <t>Prompt này phản ánh tư duy phản biện, không chỉ copy AI?</t>
  </si>
  <si>
    <t>Không copy nguyên AI; có chỉnh sửa theo bối cảnh Travel Attraction Ticket Booking Platform.</t>
  </si>
  <si>
    <t>B. KIỂM TRA TỔNG THỂ LOG</t>
  </si>
  <si>
    <t>Current Value</t>
  </si>
  <si>
    <t>Số lượng entries nằm trong range (min-max)?</t>
  </si>
  <si>
    <t>16 core prompts / 120 total prompts = khoảng 13.3%, nằm trong range 10-20%.</t>
  </si>
  <si>
    <t>Mỗi DTC component có ít nhất 1 core prompt?</t>
  </si>
  <si>
    <t>Decomposition, Pattern Recognition, Abstraction, Algorithms đều có ít nhất 1 entry.</t>
  </si>
  <si>
    <t>Đã phát hiện ≥ số lượng hallucination yêu cầu?</t>
  </si>
  <si>
    <t>3 hallucination cases đã ghi ở Sheet 3, đạt yêu cầu Project ≥3.</t>
  </si>
  <si>
    <t>Mỗi entry đều có Human Delta đầy đủ (4 câu hỏi)?</t>
  </si>
  <si>
    <t>16/16 entries có đủ 4 phần Human Delta.</t>
  </si>
  <si>
    <t>Có evidence cho ≥70% entries?</t>
  </si>
  <si>
    <t>16/16 entries có evidence, đạt trên 70%.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</si>
  <si>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</si>
  <si>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</si>
  <si>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</si>
  <si>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</si>
  <si>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</si>
  <si>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</si>
  <si>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</si>
  <si>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</si>
  <si>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Yes - explain được lý do và trade-off</t>
  </si>
  <si>
    <t>Yes - nhớ summary chính</t>
  </si>
  <si>
    <t>Yes - có evidence ghi ở Sheet 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</si>
</sst>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%"/>
  </numFmts>
  <fonts count="33">
    <font>
      <sz val="11"/>
      <color theme="1"/>
      <name val="Calibri"/>
      <charset val="134"/>
    </font>
    <font>
      <b/>
      <sz val="16"/>
      <color rgb="FF2E75B6"/>
      <name val="Calibri"/>
      <charset val="134"/>
    </font>
    <font>
      <i/>
      <sz val="10"/>
      <color rgb="FF666666"/>
      <name val="Calibri"/>
      <charset val="134"/>
    </font>
    <font>
      <b/>
      <sz val="14"/>
      <color rgb="FF2E75B6"/>
      <name val="Calibri"/>
      <charset val="134"/>
    </font>
    <font>
      <b/>
      <sz val="11"/>
      <color rgb="FFFFFFFF"/>
      <name val="Calibri"/>
      <charset val="134"/>
    </font>
    <font>
      <sz val="10"/>
      <name val="Calibri"/>
      <charset val="134"/>
    </font>
    <font>
      <b/>
      <sz val="12"/>
      <color rgb="FFFF0000"/>
      <name val="Calibri"/>
      <charset val="134"/>
    </font>
    <font>
      <sz val="11"/>
      <color rgb="FFFF0000"/>
      <name val="Calibri"/>
      <charset val="134"/>
    </font>
    <font>
      <i/>
      <sz val="10"/>
      <name val="Calibri"/>
      <charset val="134"/>
    </font>
    <font>
      <b/>
      <sz val="11"/>
      <name val="Calibri"/>
      <charset val="134"/>
    </font>
    <font>
      <b/>
      <sz val="16"/>
      <color rgb="FFFF0000"/>
      <name val="Calibri"/>
      <charset val="134"/>
    </font>
    <font>
      <b/>
      <i/>
      <sz val="10"/>
      <color rgb="FFFF0000"/>
      <name val="Calibri"/>
      <charset val="134"/>
    </font>
    <font>
      <i/>
      <sz val="9"/>
      <color rgb="FF666666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5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5" applyNumberFormat="0" applyAlignment="0" applyProtection="0">
      <alignment vertical="center"/>
    </xf>
    <xf numFmtId="0" fontId="23" fillId="7" borderId="6" applyNumberFormat="0" applyAlignment="0" applyProtection="0">
      <alignment vertical="center"/>
    </xf>
    <xf numFmtId="0" fontId="24" fillId="7" borderId="5" applyNumberFormat="0" applyAlignment="0" applyProtection="0">
      <alignment vertical="center"/>
    </xf>
    <xf numFmtId="0" fontId="25" fillId="8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0" fillId="0" borderId="0" xfId="0" applyAlignment="1">
      <alignment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9" fillId="0" borderId="0" xfId="0" applyFont="1"/>
    <xf numFmtId="0" fontId="0" fillId="4" borderId="0" xfId="0" applyFill="1"/>
    <xf numFmtId="178" fontId="0" fillId="0" borderId="0" xfId="0" applyNumberFormat="1"/>
    <xf numFmtId="0" fontId="12" fillId="0" borderId="0" xfId="0" applyFont="1"/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"/>
  <sheetViews>
    <sheetView workbookViewId="0">
      <selection activeCell="C21" sqref="C21"/>
    </sheetView>
  </sheetViews>
  <sheetFormatPr defaultColWidth="9" defaultRowHeight="14.4" outlineLevelCol="5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ht="21" spans="1:5">
      <c r="A1" s="1" t="s">
        <v>0</v>
      </c>
    </row>
    <row r="3" ht="18" spans="1:5">
      <c r="A3" s="3" t="s">
        <v>1</v>
      </c>
    </row>
    <row r="4" spans="1:5">
      <c r="A4" s="20" t="s">
        <v>2</v>
      </c>
      <c r="C4" t="s">
        <v>3</v>
      </c>
    </row>
    <row r="5" spans="1:5">
      <c r="A5" s="20" t="s">
        <v>4</v>
      </c>
      <c r="C5" t="s">
        <v>5</v>
      </c>
    </row>
    <row r="6" spans="1:5">
      <c r="A6" s="20" t="s">
        <v>6</v>
      </c>
      <c r="C6" t="s">
        <v>7</v>
      </c>
    </row>
    <row r="7" spans="1:5">
      <c r="A7" s="20" t="s">
        <v>8</v>
      </c>
      <c r="C7" t="s">
        <v>9</v>
      </c>
    </row>
    <row r="9" ht="18" spans="1:5">
      <c r="A9" s="3" t="s">
        <v>10</v>
      </c>
    </row>
    <row r="10" spans="1:5">
      <c r="A10" s="20" t="s">
        <v>11</v>
      </c>
      <c r="C10">
        <v>120</v>
      </c>
    </row>
    <row r="11" spans="1:5">
      <c r="A11" s="20" t="s">
        <v>12</v>
      </c>
      <c r="C11" s="21">
        <f>COUNTA('2. Detailed Audit Log'!$A$4:$A$19)</f>
        <v>16</v>
      </c>
    </row>
    <row r="12" spans="1:5">
      <c r="A12" s="20" t="s">
        <v>13</v>
      </c>
      <c r="C12" s="22">
        <f>C11/C10</f>
        <v>0.133333333333333</v>
      </c>
      <c r="E12" s="23" t="s">
        <v>14</v>
      </c>
    </row>
    <row r="13" spans="1:5">
      <c r="A13" s="20" t="s">
        <v>15</v>
      </c>
      <c r="C13" s="21">
        <f>COUNTA('3. Hallucination Detection'!$A$4:$A$6)</f>
        <v>3</v>
      </c>
    </row>
    <row r="15" ht="18" spans="1:5">
      <c r="A15" s="3" t="s">
        <v>16</v>
      </c>
    </row>
    <row r="16" spans="1:5">
      <c r="A16" s="4" t="s">
        <v>17</v>
      </c>
      <c r="B16" s="4" t="s">
        <v>18</v>
      </c>
      <c r="C16" s="4" t="s">
        <v>19</v>
      </c>
      <c r="D16" s="4" t="s">
        <v>20</v>
      </c>
    </row>
    <row r="17" ht="28.8" spans="1:4">
      <c r="A17" s="15" t="s">
        <v>21</v>
      </c>
      <c r="B17" s="15" t="s">
        <v>22</v>
      </c>
      <c r="C17" s="15" t="s">
        <v>23</v>
      </c>
      <c r="D17" s="15" t="s">
        <v>24</v>
      </c>
    </row>
    <row r="18" ht="28.8" spans="1:4">
      <c r="A18" s="15" t="s">
        <v>25</v>
      </c>
      <c r="B18" s="15" t="s">
        <v>26</v>
      </c>
      <c r="C18" s="15" t="s">
        <v>27</v>
      </c>
      <c r="D18" s="15" t="s">
        <v>28</v>
      </c>
    </row>
    <row r="19" ht="28.8" spans="1:4">
      <c r="A19" s="15" t="s">
        <v>29</v>
      </c>
      <c r="B19" s="15" t="s">
        <v>30</v>
      </c>
      <c r="C19" s="15" t="s">
        <v>31</v>
      </c>
      <c r="D19" s="15" t="s">
        <v>32</v>
      </c>
    </row>
    <row r="20" ht="28.8" spans="1:4">
      <c r="A20" s="15" t="s">
        <v>33</v>
      </c>
      <c r="B20" s="15" t="s">
        <v>34</v>
      </c>
      <c r="C20" s="15" t="s">
        <v>27</v>
      </c>
      <c r="D20" s="15" t="s">
        <v>35</v>
      </c>
    </row>
    <row r="22" ht="18" spans="1:4">
      <c r="A22" s="3" t="s">
        <v>36</v>
      </c>
    </row>
    <row r="23" spans="1:4">
      <c r="A23" s="4" t="s">
        <v>37</v>
      </c>
      <c r="B23" s="4" t="s">
        <v>38</v>
      </c>
      <c r="C23" s="4" t="s">
        <v>39</v>
      </c>
    </row>
    <row r="24" spans="1:4">
      <c r="A24" s="15" t="s">
        <v>40</v>
      </c>
      <c r="B24" s="24">
        <f>COUNTIF('2. Detailed Audit Log'!$C$4:$C$19,A24)</f>
        <v>5</v>
      </c>
      <c r="C24" s="25" t="s">
        <v>41</v>
      </c>
    </row>
    <row r="25" spans="1:4">
      <c r="A25" s="15" t="s">
        <v>42</v>
      </c>
      <c r="B25" s="24">
        <f>COUNTIF('2. Detailed Audit Log'!$C$4:$C$19,A25)</f>
        <v>3</v>
      </c>
      <c r="C25" s="25" t="s">
        <v>41</v>
      </c>
    </row>
    <row r="26" spans="1:4">
      <c r="A26" s="15" t="s">
        <v>43</v>
      </c>
      <c r="B26" s="24">
        <f>COUNTIF('2. Detailed Audit Log'!$C$4:$C$19,A26)</f>
        <v>4</v>
      </c>
      <c r="C26" s="25" t="s">
        <v>41</v>
      </c>
    </row>
    <row r="27" spans="1:4">
      <c r="A27" s="15" t="s">
        <v>44</v>
      </c>
      <c r="B27" s="24">
        <f>COUNTIF('2. Detailed Audit Log'!$C$4:$C$19,A27)</f>
        <v>4</v>
      </c>
      <c r="C27" s="25" t="s">
        <v>41</v>
      </c>
    </row>
  </sheetData>
  <mergeCells count="1">
    <mergeCell ref="A1:F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topLeftCell="E13" workbookViewId="0">
      <selection activeCell="A1" sqref="A1:H1"/>
    </sheetView>
  </sheetViews>
  <sheetFormatPr defaultColWidth="9" defaultRowHeight="14.4" outlineLevelCol="7"/>
  <cols>
    <col min="1" max="1" width="7" customWidth="1"/>
    <col min="2" max="3" width="18" customWidth="1"/>
    <col min="4" max="4" width="28" customWidth="1"/>
    <col min="5" max="5" width="34" customWidth="1"/>
    <col min="6" max="6" width="40" customWidth="1"/>
    <col min="7" max="7" width="58" customWidth="1"/>
    <col min="8" max="8" width="28" customWidth="1"/>
  </cols>
  <sheetData>
    <row r="1" ht="21" spans="1:8">
      <c r="A1" s="1" t="s">
        <v>45</v>
      </c>
    </row>
    <row r="2" ht="24" customHeight="1" spans="1:8">
      <c r="A2" s="19" t="s">
        <v>46</v>
      </c>
    </row>
    <row r="3" ht="31.95" customHeight="1" spans="1:8">
      <c r="A3" s="4" t="s">
        <v>47</v>
      </c>
      <c r="B3" s="4" t="s">
        <v>48</v>
      </c>
      <c r="C3" s="4" t="s">
        <v>49</v>
      </c>
      <c r="D3" s="4" t="s">
        <v>50</v>
      </c>
      <c r="E3" s="4" t="s">
        <v>51</v>
      </c>
      <c r="F3" s="4" t="s">
        <v>52</v>
      </c>
      <c r="G3" s="4" t="s">
        <v>53</v>
      </c>
      <c r="H3" s="4" t="s">
        <v>54</v>
      </c>
    </row>
    <row r="4" ht="89.55" customHeight="1" spans="1:8">
      <c r="A4" s="15" t="s">
        <v>55</v>
      </c>
      <c r="B4" s="15" t="s">
        <v>56</v>
      </c>
      <c r="C4" s="15" t="s">
        <v>40</v>
      </c>
      <c r="D4" s="15" t="s">
        <v>57</v>
      </c>
      <c r="E4" s="15" t="s">
        <v>58</v>
      </c>
      <c r="F4" s="15" t="s">
        <v>59</v>
      </c>
      <c r="G4" s="15" t="s">
        <v>60</v>
      </c>
      <c r="H4" s="15" t="s">
        <v>61</v>
      </c>
    </row>
    <row r="5" ht="89.55" customHeight="1" spans="1:8">
      <c r="A5" s="15" t="s">
        <v>62</v>
      </c>
      <c r="B5" s="15" t="s">
        <v>56</v>
      </c>
      <c r="C5" s="15" t="s">
        <v>40</v>
      </c>
      <c r="D5" s="15" t="s">
        <v>63</v>
      </c>
      <c r="E5" s="15" t="s">
        <v>64</v>
      </c>
      <c r="F5" s="15" t="s">
        <v>65</v>
      </c>
      <c r="G5" s="15" t="s">
        <v>66</v>
      </c>
      <c r="H5" s="15" t="s">
        <v>67</v>
      </c>
    </row>
    <row r="6" ht="89.55" customHeight="1" spans="1:8">
      <c r="A6" s="15" t="s">
        <v>68</v>
      </c>
      <c r="B6" s="15" t="s">
        <v>56</v>
      </c>
      <c r="C6" s="15" t="s">
        <v>43</v>
      </c>
      <c r="D6" s="15" t="s">
        <v>69</v>
      </c>
      <c r="E6" s="15" t="s">
        <v>70</v>
      </c>
      <c r="F6" s="15" t="s">
        <v>71</v>
      </c>
      <c r="G6" s="15" t="s">
        <v>72</v>
      </c>
      <c r="H6" s="15" t="s">
        <v>73</v>
      </c>
    </row>
    <row r="7" ht="89.55" customHeight="1" spans="1:8">
      <c r="A7" s="15" t="s">
        <v>74</v>
      </c>
      <c r="B7" s="15" t="s">
        <v>75</v>
      </c>
      <c r="C7" s="15" t="s">
        <v>42</v>
      </c>
      <c r="D7" s="15" t="s">
        <v>76</v>
      </c>
      <c r="E7" s="15" t="s">
        <v>77</v>
      </c>
      <c r="F7" s="15" t="s">
        <v>78</v>
      </c>
      <c r="G7" s="15" t="s">
        <v>79</v>
      </c>
      <c r="H7" s="15" t="s">
        <v>80</v>
      </c>
    </row>
    <row r="8" ht="89.55" customHeight="1" spans="1:8">
      <c r="A8" s="15" t="s">
        <v>81</v>
      </c>
      <c r="B8" s="15" t="s">
        <v>56</v>
      </c>
      <c r="C8" s="15" t="s">
        <v>43</v>
      </c>
      <c r="D8" s="15" t="s">
        <v>82</v>
      </c>
      <c r="E8" s="15" t="s">
        <v>83</v>
      </c>
      <c r="F8" s="15" t="s">
        <v>84</v>
      </c>
      <c r="G8" s="15" t="s">
        <v>85</v>
      </c>
      <c r="H8" s="15" t="s">
        <v>86</v>
      </c>
    </row>
    <row r="9" ht="89.55" customHeight="1" spans="1:8">
      <c r="A9" s="15" t="s">
        <v>87</v>
      </c>
      <c r="B9" s="15" t="s">
        <v>75</v>
      </c>
      <c r="C9" s="15" t="s">
        <v>44</v>
      </c>
      <c r="D9" s="15" t="s">
        <v>88</v>
      </c>
      <c r="E9" s="15" t="s">
        <v>89</v>
      </c>
      <c r="F9" s="15" t="s">
        <v>90</v>
      </c>
      <c r="G9" s="15" t="s">
        <v>91</v>
      </c>
      <c r="H9" s="15" t="s">
        <v>92</v>
      </c>
    </row>
    <row r="10" ht="89.55" customHeight="1" spans="1:8">
      <c r="A10" s="15" t="s">
        <v>93</v>
      </c>
      <c r="B10" s="15" t="s">
        <v>75</v>
      </c>
      <c r="C10" s="15" t="s">
        <v>44</v>
      </c>
      <c r="D10" s="15" t="s">
        <v>94</v>
      </c>
      <c r="E10" s="15" t="s">
        <v>95</v>
      </c>
      <c r="F10" s="15" t="s">
        <v>96</v>
      </c>
      <c r="G10" s="15" t="s">
        <v>97</v>
      </c>
      <c r="H10" s="15" t="s">
        <v>98</v>
      </c>
    </row>
    <row r="11" ht="89.55" customHeight="1" spans="1:8">
      <c r="A11" s="15" t="s">
        <v>99</v>
      </c>
      <c r="B11" s="15" t="s">
        <v>100</v>
      </c>
      <c r="C11" s="15" t="s">
        <v>42</v>
      </c>
      <c r="D11" s="15" t="s">
        <v>101</v>
      </c>
      <c r="E11" s="15" t="s">
        <v>102</v>
      </c>
      <c r="F11" s="15" t="s">
        <v>103</v>
      </c>
      <c r="G11" s="15" t="s">
        <v>104</v>
      </c>
      <c r="H11" s="15" t="s">
        <v>105</v>
      </c>
    </row>
    <row r="12" ht="89.55" customHeight="1" spans="1:8">
      <c r="A12" s="15" t="s">
        <v>106</v>
      </c>
      <c r="B12" s="15" t="s">
        <v>100</v>
      </c>
      <c r="C12" s="15" t="s">
        <v>43</v>
      </c>
      <c r="D12" s="15" t="s">
        <v>107</v>
      </c>
      <c r="E12" s="15" t="s">
        <v>108</v>
      </c>
      <c r="F12" s="15" t="s">
        <v>109</v>
      </c>
      <c r="G12" s="15" t="s">
        <v>110</v>
      </c>
      <c r="H12" s="15" t="s">
        <v>111</v>
      </c>
    </row>
    <row r="13" ht="89.55" customHeight="1" spans="1:8">
      <c r="A13" s="15" t="s">
        <v>112</v>
      </c>
      <c r="B13" s="15" t="s">
        <v>56</v>
      </c>
      <c r="C13" s="15" t="s">
        <v>40</v>
      </c>
      <c r="D13" s="15" t="s">
        <v>113</v>
      </c>
      <c r="E13" s="15" t="s">
        <v>114</v>
      </c>
      <c r="F13" s="15" t="s">
        <v>115</v>
      </c>
      <c r="G13" s="15" t="s">
        <v>116</v>
      </c>
      <c r="H13" s="15" t="s">
        <v>117</v>
      </c>
    </row>
    <row r="14" ht="89.55" customHeight="1" spans="1:8">
      <c r="A14" s="15" t="s">
        <v>118</v>
      </c>
      <c r="B14" s="15" t="s">
        <v>75</v>
      </c>
      <c r="C14" s="15" t="s">
        <v>42</v>
      </c>
      <c r="D14" s="15" t="s">
        <v>119</v>
      </c>
      <c r="E14" s="15" t="s">
        <v>120</v>
      </c>
      <c r="F14" s="15" t="s">
        <v>121</v>
      </c>
      <c r="G14" s="15" t="s">
        <v>122</v>
      </c>
      <c r="H14" s="15" t="s">
        <v>123</v>
      </c>
    </row>
    <row r="15" ht="89.55" customHeight="1" spans="1:8">
      <c r="A15" s="15" t="s">
        <v>124</v>
      </c>
      <c r="B15" s="15" t="s">
        <v>100</v>
      </c>
      <c r="C15" s="15" t="s">
        <v>40</v>
      </c>
      <c r="D15" s="15" t="s">
        <v>125</v>
      </c>
      <c r="E15" s="15" t="s">
        <v>126</v>
      </c>
      <c r="F15" s="15" t="s">
        <v>127</v>
      </c>
      <c r="G15" s="15" t="s">
        <v>128</v>
      </c>
      <c r="H15" s="15" t="s">
        <v>129</v>
      </c>
    </row>
    <row r="16" ht="89.55" customHeight="1" spans="1:8">
      <c r="A16" s="15" t="s">
        <v>130</v>
      </c>
      <c r="B16" s="15" t="s">
        <v>100</v>
      </c>
      <c r="C16" s="15" t="s">
        <v>44</v>
      </c>
      <c r="D16" s="15" t="s">
        <v>131</v>
      </c>
      <c r="E16" s="15" t="s">
        <v>132</v>
      </c>
      <c r="F16" s="15" t="s">
        <v>133</v>
      </c>
      <c r="G16" s="15" t="s">
        <v>134</v>
      </c>
      <c r="H16" s="15" t="s">
        <v>135</v>
      </c>
    </row>
    <row r="17" ht="89.55" customHeight="1" spans="1:8">
      <c r="A17" s="15" t="s">
        <v>136</v>
      </c>
      <c r="B17" s="15" t="s">
        <v>100</v>
      </c>
      <c r="C17" s="15" t="s">
        <v>43</v>
      </c>
      <c r="D17" s="15" t="s">
        <v>137</v>
      </c>
      <c r="E17" s="15" t="s">
        <v>138</v>
      </c>
      <c r="F17" s="15" t="s">
        <v>139</v>
      </c>
      <c r="G17" s="15" t="s">
        <v>140</v>
      </c>
      <c r="H17" s="15" t="s">
        <v>141</v>
      </c>
    </row>
    <row r="18" ht="89.55" customHeight="1" spans="1:8">
      <c r="A18" s="15" t="s">
        <v>142</v>
      </c>
      <c r="B18" s="15" t="s">
        <v>56</v>
      </c>
      <c r="C18" s="15" t="s">
        <v>40</v>
      </c>
      <c r="D18" s="15" t="s">
        <v>143</v>
      </c>
      <c r="E18" s="15" t="s">
        <v>144</v>
      </c>
      <c r="F18" s="15" t="s">
        <v>145</v>
      </c>
      <c r="G18" s="15" t="s">
        <v>146</v>
      </c>
      <c r="H18" s="15" t="s">
        <v>147</v>
      </c>
    </row>
    <row r="19" ht="89.55" customHeight="1" spans="1:8">
      <c r="A19" s="15" t="s">
        <v>148</v>
      </c>
      <c r="B19" s="15" t="s">
        <v>75</v>
      </c>
      <c r="C19" s="15" t="s">
        <v>44</v>
      </c>
      <c r="D19" s="15" t="s">
        <v>149</v>
      </c>
      <c r="E19" s="15" t="s">
        <v>150</v>
      </c>
      <c r="F19" s="15" t="s">
        <v>151</v>
      </c>
      <c r="G19" s="15" t="s">
        <v>152</v>
      </c>
      <c r="H19" s="15" t="s">
        <v>153</v>
      </c>
    </row>
    <row r="20" ht="63.9" customHeight="1" spans="1:8">
      <c r="A20" s="15"/>
      <c r="B20" s="15"/>
      <c r="C20" s="15"/>
      <c r="D20" s="15"/>
      <c r="E20" s="15"/>
      <c r="F20" s="15"/>
      <c r="G20" s="15"/>
      <c r="H20" s="15"/>
    </row>
    <row r="21" ht="63.9" customHeight="1" spans="1:8">
      <c r="A21" s="15"/>
      <c r="B21" s="15"/>
      <c r="C21" s="15"/>
      <c r="D21" s="15"/>
      <c r="E21" s="15"/>
      <c r="F21" s="15"/>
      <c r="G21" s="15"/>
      <c r="H21" s="15"/>
    </row>
    <row r="22" ht="63.9" customHeight="1" spans="1:8">
      <c r="A22" s="15"/>
      <c r="B22" s="15"/>
      <c r="C22" s="15"/>
      <c r="D22" s="15"/>
      <c r="E22" s="15"/>
      <c r="F22" s="15"/>
      <c r="G22" s="15"/>
      <c r="H22" s="15"/>
    </row>
    <row r="23" ht="63.9" customHeight="1" spans="1:8">
      <c r="A23" s="15"/>
      <c r="B23" s="15"/>
      <c r="C23" s="15"/>
      <c r="D23" s="15"/>
      <c r="E23" s="15"/>
      <c r="F23" s="15"/>
      <c r="G23" s="15"/>
      <c r="H23" s="15"/>
    </row>
    <row r="24" ht="63.9" customHeight="1" spans="1:8">
      <c r="A24" s="15"/>
      <c r="B24" s="15"/>
      <c r="C24" s="15"/>
      <c r="D24" s="15"/>
      <c r="E24" s="15"/>
      <c r="F24" s="15"/>
      <c r="G24" s="15"/>
      <c r="H24" s="15"/>
    </row>
    <row r="25" ht="63.9" customHeight="1" spans="1:8">
      <c r="A25" s="15"/>
      <c r="B25" s="15"/>
      <c r="C25" s="15"/>
      <c r="D25" s="15"/>
      <c r="E25" s="15"/>
      <c r="F25" s="15"/>
      <c r="G25" s="15"/>
      <c r="H25" s="15"/>
    </row>
    <row r="26" ht="63.9" customHeight="1" spans="1:8">
      <c r="A26" s="15"/>
      <c r="B26" s="15"/>
      <c r="C26" s="15"/>
      <c r="D26" s="15"/>
      <c r="E26" s="15"/>
      <c r="F26" s="15"/>
      <c r="G26" s="15"/>
      <c r="H26" s="15"/>
    </row>
  </sheetData>
  <mergeCells count="2">
    <mergeCell ref="A1:H1"/>
    <mergeCell ref="A2:H2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"/>
  <sheetViews>
    <sheetView workbookViewId="0">
      <selection activeCell="A1" sqref="A1:F1"/>
    </sheetView>
  </sheetViews>
  <sheetFormatPr defaultColWidth="9" defaultRowHeight="14.4" outlineLevelCol="5"/>
  <cols>
    <col min="1" max="1" width="16" customWidth="1"/>
    <col min="2" max="2" width="24" customWidth="1"/>
    <col min="3" max="6" width="38" customWidth="1"/>
  </cols>
  <sheetData>
    <row r="1" ht="21" spans="1:6">
      <c r="A1" s="17" t="s">
        <v>154</v>
      </c>
    </row>
    <row r="2" spans="1:6">
      <c r="A2" s="18" t="s">
        <v>155</v>
      </c>
    </row>
    <row r="3" ht="31.95" customHeight="1" spans="1:6">
      <c r="A3" s="4" t="s">
        <v>156</v>
      </c>
      <c r="B3" s="4" t="s">
        <v>157</v>
      </c>
      <c r="C3" s="4" t="s">
        <v>158</v>
      </c>
      <c r="D3" s="4" t="s">
        <v>159</v>
      </c>
      <c r="E3" s="4" t="s">
        <v>160</v>
      </c>
      <c r="F3" s="4" t="s">
        <v>161</v>
      </c>
    </row>
    <row r="4" ht="62.4" customHeight="1" spans="1:6">
      <c r="A4" s="15" t="s">
        <v>124</v>
      </c>
      <c r="B4" s="15" t="s">
        <v>162</v>
      </c>
      <c r="C4" s="15" t="s">
        <v>163</v>
      </c>
      <c r="D4" s="15" t="s">
        <v>164</v>
      </c>
      <c r="E4" s="15" t="s">
        <v>165</v>
      </c>
      <c r="F4" s="15" t="s">
        <v>166</v>
      </c>
    </row>
    <row r="5" ht="62.4" customHeight="1" spans="1:6">
      <c r="A5" s="15" t="s">
        <v>130</v>
      </c>
      <c r="B5" s="15" t="s">
        <v>167</v>
      </c>
      <c r="C5" s="15" t="s">
        <v>168</v>
      </c>
      <c r="D5" s="15" t="s">
        <v>169</v>
      </c>
      <c r="E5" s="15" t="s">
        <v>170</v>
      </c>
      <c r="F5" s="15" t="s">
        <v>171</v>
      </c>
    </row>
    <row r="6" ht="62.4" customHeight="1" spans="1:6">
      <c r="A6" s="15" t="s">
        <v>136</v>
      </c>
      <c r="B6" s="15" t="s">
        <v>172</v>
      </c>
      <c r="C6" s="15" t="s">
        <v>173</v>
      </c>
      <c r="D6" s="15" t="s">
        <v>174</v>
      </c>
      <c r="E6" s="15" t="s">
        <v>175</v>
      </c>
      <c r="F6" s="15" t="s">
        <v>176</v>
      </c>
    </row>
    <row r="7" ht="48" customHeight="1" spans="1:6">
      <c r="A7" s="15"/>
      <c r="B7" s="15"/>
      <c r="C7" s="15"/>
      <c r="D7" s="15"/>
      <c r="E7" s="15"/>
      <c r="F7" s="15"/>
    </row>
    <row r="8" ht="48" customHeight="1" spans="1:6">
      <c r="A8" s="15"/>
      <c r="B8" s="15"/>
      <c r="C8" s="15"/>
      <c r="D8" s="15"/>
      <c r="E8" s="15"/>
      <c r="F8" s="15"/>
    </row>
    <row r="9" ht="48" customHeight="1" spans="1:6">
      <c r="A9" s="15"/>
      <c r="B9" s="15"/>
      <c r="C9" s="15"/>
      <c r="D9" s="15"/>
      <c r="E9" s="15"/>
      <c r="F9" s="15"/>
    </row>
    <row r="10" ht="48" customHeight="1" spans="1:6">
      <c r="A10" s="15"/>
      <c r="B10" s="15"/>
      <c r="C10" s="15"/>
      <c r="D10" s="15"/>
      <c r="E10" s="15"/>
      <c r="F10" s="15"/>
    </row>
    <row r="11" ht="48" customHeight="1" spans="1:6">
      <c r="A11" s="15"/>
      <c r="B11" s="15"/>
      <c r="C11" s="15"/>
      <c r="D11" s="15"/>
      <c r="E11" s="15"/>
      <c r="F11" s="15"/>
    </row>
    <row r="12" ht="48" customHeight="1" spans="1:6">
      <c r="A12" s="15"/>
      <c r="B12" s="15"/>
      <c r="C12" s="15"/>
      <c r="D12" s="15"/>
      <c r="E12" s="15"/>
      <c r="F12" s="15"/>
    </row>
    <row r="13" ht="48" customHeight="1" spans="1:6">
      <c r="A13" s="15"/>
      <c r="B13" s="15"/>
      <c r="C13" s="15"/>
      <c r="D13" s="15"/>
      <c r="E13" s="15"/>
      <c r="F13" s="15"/>
    </row>
    <row r="14" ht="48" customHeight="1" spans="1:6">
      <c r="A14" s="15"/>
      <c r="B14" s="15"/>
      <c r="C14" s="15"/>
      <c r="D14" s="15"/>
      <c r="E14" s="15"/>
      <c r="F14" s="15"/>
    </row>
    <row r="15" ht="48" customHeight="1" spans="1:6">
      <c r="A15" s="15"/>
      <c r="B15" s="15"/>
      <c r="C15" s="15"/>
      <c r="D15" s="15"/>
      <c r="E15" s="15"/>
      <c r="F15" s="15"/>
    </row>
    <row r="16" ht="48" customHeight="1" spans="1:6">
      <c r="A16" s="15"/>
      <c r="B16" s="15"/>
      <c r="C16" s="15"/>
      <c r="D16" s="15"/>
      <c r="E16" s="15"/>
      <c r="F16" s="15"/>
    </row>
    <row r="17" ht="48" customHeight="1" spans="1:6">
      <c r="A17" s="15"/>
      <c r="B17" s="15"/>
      <c r="C17" s="15"/>
      <c r="D17" s="15"/>
      <c r="E17" s="15"/>
      <c r="F17" s="15"/>
    </row>
    <row r="18" ht="48" customHeight="1" spans="1:6">
      <c r="A18" s="15"/>
      <c r="B18" s="15"/>
      <c r="C18" s="15"/>
      <c r="D18" s="15"/>
      <c r="E18" s="15"/>
      <c r="F18" s="15"/>
    </row>
    <row r="19" ht="48" customHeight="1" spans="1:6">
      <c r="A19" s="15"/>
      <c r="B19" s="15"/>
      <c r="C19" s="15"/>
      <c r="D19" s="15"/>
      <c r="E19" s="15"/>
      <c r="F19" s="15"/>
    </row>
    <row r="20" ht="48" customHeight="1" spans="1:6">
      <c r="A20" s="15"/>
      <c r="B20" s="15"/>
      <c r="C20" s="15"/>
      <c r="D20" s="15"/>
      <c r="E20" s="15"/>
      <c r="F20" s="15"/>
    </row>
    <row r="21" ht="48" customHeight="1" spans="1:6">
      <c r="A21" s="15"/>
      <c r="B21" s="15"/>
      <c r="C21" s="15"/>
      <c r="D21" s="15"/>
      <c r="E21" s="15"/>
      <c r="F21" s="15"/>
    </row>
    <row r="22" ht="48" customHeight="1" spans="1:6">
      <c r="A22" s="15"/>
      <c r="B22" s="15"/>
      <c r="C22" s="15"/>
      <c r="D22" s="15"/>
      <c r="E22" s="15"/>
      <c r="F22" s="15"/>
    </row>
    <row r="23" ht="48" customHeight="1" spans="1:6">
      <c r="A23" s="15"/>
      <c r="B23" s="15"/>
      <c r="C23" s="15"/>
      <c r="D23" s="15"/>
      <c r="E23" s="15"/>
      <c r="F23" s="15"/>
    </row>
    <row r="24" ht="48" customHeight="1" spans="1:6">
      <c r="A24" s="15"/>
      <c r="B24" s="15"/>
      <c r="C24" s="15"/>
      <c r="D24" s="15"/>
      <c r="E24" s="15"/>
      <c r="F24" s="15"/>
    </row>
    <row r="30" ht="18" spans="1:6">
      <c r="A30" s="3" t="s">
        <v>177</v>
      </c>
    </row>
    <row r="31" spans="1:6">
      <c r="A31" s="13" t="s">
        <v>178</v>
      </c>
      <c r="B31" s="13" t="s">
        <v>179</v>
      </c>
      <c r="C31" s="13" t="s">
        <v>180</v>
      </c>
    </row>
    <row r="32" ht="28.8" spans="1:6">
      <c r="A32" s="15" t="s">
        <v>181</v>
      </c>
      <c r="B32" s="15" t="s">
        <v>182</v>
      </c>
      <c r="C32" s="15" t="s">
        <v>183</v>
      </c>
    </row>
    <row r="33" ht="28.8" spans="1:3">
      <c r="A33" s="15" t="s">
        <v>172</v>
      </c>
      <c r="B33" s="15" t="s">
        <v>184</v>
      </c>
      <c r="C33" s="15" t="s">
        <v>185</v>
      </c>
    </row>
    <row r="34" ht="28.8" spans="1:3">
      <c r="A34" s="15" t="s">
        <v>167</v>
      </c>
      <c r="B34" s="15" t="s">
        <v>186</v>
      </c>
      <c r="C34" s="15" t="s">
        <v>187</v>
      </c>
    </row>
    <row r="35" ht="28.8" spans="1:3">
      <c r="A35" s="15" t="s">
        <v>188</v>
      </c>
      <c r="B35" s="15" t="s">
        <v>189</v>
      </c>
      <c r="C35" s="15" t="s">
        <v>190</v>
      </c>
    </row>
    <row r="36" ht="28.8" spans="1:3">
      <c r="A36" s="15" t="s">
        <v>162</v>
      </c>
      <c r="B36" s="15" t="s">
        <v>191</v>
      </c>
      <c r="C36" s="15" t="s">
        <v>192</v>
      </c>
    </row>
  </sheetData>
  <mergeCells count="2">
    <mergeCell ref="A1:F1"/>
    <mergeCell ref="A2:F2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3"/>
  <sheetViews>
    <sheetView tabSelected="1" topLeftCell="A19" workbookViewId="0">
      <selection activeCell="A1" sqref="A1:D1"/>
    </sheetView>
  </sheetViews>
  <sheetFormatPr defaultColWidth="9" defaultRowHeight="14.4" outlineLevelCol="3"/>
  <cols>
    <col min="1" max="1" width="12" customWidth="1"/>
    <col min="2" max="2" width="55" customWidth="1"/>
    <col min="3" max="3" width="12" customWidth="1"/>
    <col min="4" max="4" width="58" customWidth="1"/>
  </cols>
  <sheetData>
    <row r="1" ht="21" spans="1:4">
      <c r="A1" s="1" t="s">
        <v>193</v>
      </c>
    </row>
    <row r="2" spans="1:4">
      <c r="A2" s="2" t="s">
        <v>194</v>
      </c>
    </row>
    <row r="4" ht="18" spans="1:4">
      <c r="A4" s="3" t="s">
        <v>195</v>
      </c>
    </row>
    <row r="5" spans="1:4">
      <c r="A5" s="4" t="s">
        <v>196</v>
      </c>
      <c r="B5" s="5" t="s">
        <v>197</v>
      </c>
      <c r="C5" s="4" t="s">
        <v>198</v>
      </c>
      <c r="D5" s="5" t="s">
        <v>199</v>
      </c>
    </row>
    <row r="6" ht="33.6" customHeight="1" spans="1:4">
      <c r="A6" s="6" t="s">
        <v>200</v>
      </c>
      <c r="B6" s="7" t="s">
        <v>201</v>
      </c>
      <c r="C6" s="6" t="s">
        <v>202</v>
      </c>
      <c r="D6" s="7" t="s">
        <v>203</v>
      </c>
    </row>
    <row r="7" ht="33.6" customHeight="1" spans="1:4">
      <c r="A7" s="6" t="s">
        <v>204</v>
      </c>
      <c r="B7" s="7" t="s">
        <v>205</v>
      </c>
      <c r="C7" s="6" t="s">
        <v>202</v>
      </c>
      <c r="D7" s="7" t="s">
        <v>206</v>
      </c>
    </row>
    <row r="8" ht="33.6" customHeight="1" spans="1:4">
      <c r="A8" s="6" t="s">
        <v>207</v>
      </c>
      <c r="B8" s="7" t="s">
        <v>208</v>
      </c>
      <c r="C8" s="6" t="s">
        <v>202</v>
      </c>
      <c r="D8" s="7" t="s">
        <v>209</v>
      </c>
    </row>
    <row r="9" ht="33.6" customHeight="1" spans="1:4">
      <c r="A9" s="6" t="s">
        <v>210</v>
      </c>
      <c r="B9" s="7" t="s">
        <v>211</v>
      </c>
      <c r="C9" s="6" t="s">
        <v>202</v>
      </c>
      <c r="D9" s="7" t="s">
        <v>212</v>
      </c>
    </row>
    <row r="10" ht="33.6" customHeight="1" spans="1:4">
      <c r="A10" s="6" t="s">
        <v>213</v>
      </c>
      <c r="B10" s="7" t="s">
        <v>214</v>
      </c>
      <c r="C10" s="6" t="s">
        <v>202</v>
      </c>
      <c r="D10" s="7" t="s">
        <v>215</v>
      </c>
    </row>
    <row r="11" ht="33.6" customHeight="1" spans="1:4">
      <c r="D11" s="8"/>
    </row>
    <row r="12" ht="33.6" customHeight="1" spans="1:4">
      <c r="A12" s="3" t="s">
        <v>216</v>
      </c>
      <c r="D12" s="8"/>
    </row>
    <row r="13" ht="33.6" customHeight="1" spans="1:4">
      <c r="A13" s="4" t="s">
        <v>196</v>
      </c>
      <c r="B13" s="5" t="s">
        <v>197</v>
      </c>
      <c r="C13" s="4" t="s">
        <v>198</v>
      </c>
      <c r="D13" s="5" t="s">
        <v>217</v>
      </c>
    </row>
    <row r="14" ht="33.6" customHeight="1" spans="1:4">
      <c r="A14" s="6" t="s">
        <v>200</v>
      </c>
      <c r="B14" s="7" t="s">
        <v>218</v>
      </c>
      <c r="C14" s="6" t="s">
        <v>202</v>
      </c>
      <c r="D14" s="7" t="s">
        <v>219</v>
      </c>
    </row>
    <row r="15" ht="33.6" customHeight="1" spans="1:4">
      <c r="A15" s="6" t="s">
        <v>204</v>
      </c>
      <c r="B15" s="7" t="s">
        <v>220</v>
      </c>
      <c r="C15" s="6" t="s">
        <v>202</v>
      </c>
      <c r="D15" s="7" t="s">
        <v>221</v>
      </c>
    </row>
    <row r="16" ht="33.6" customHeight="1" spans="1:4">
      <c r="A16" s="6" t="s">
        <v>207</v>
      </c>
      <c r="B16" s="7" t="s">
        <v>222</v>
      </c>
      <c r="C16" s="6" t="s">
        <v>202</v>
      </c>
      <c r="D16" s="7" t="s">
        <v>223</v>
      </c>
    </row>
    <row r="17" ht="33.6" customHeight="1" spans="1:4">
      <c r="A17" s="6" t="s">
        <v>210</v>
      </c>
      <c r="B17" s="7" t="s">
        <v>224</v>
      </c>
      <c r="C17" s="6" t="s">
        <v>202</v>
      </c>
      <c r="D17" s="7" t="s">
        <v>225</v>
      </c>
    </row>
    <row r="18" ht="33.6" customHeight="1" spans="1:4">
      <c r="A18" s="6" t="s">
        <v>213</v>
      </c>
      <c r="B18" s="7" t="s">
        <v>226</v>
      </c>
      <c r="C18" s="6" t="s">
        <v>202</v>
      </c>
      <c r="D18" s="7" t="s">
        <v>227</v>
      </c>
    </row>
    <row r="20" ht="15.6" spans="1:4">
      <c r="A20" s="9" t="s">
        <v>228</v>
      </c>
    </row>
    <row r="21" spans="1:4">
      <c r="A21" s="10" t="s">
        <v>229</v>
      </c>
    </row>
    <row r="22" spans="1:4">
      <c r="A22" s="10" t="s">
        <v>230</v>
      </c>
    </row>
    <row r="25" ht="18" spans="1:4">
      <c r="A25" s="3" t="s">
        <v>231</v>
      </c>
    </row>
    <row r="26" spans="1:4">
      <c r="A26" s="11" t="s">
        <v>232</v>
      </c>
    </row>
    <row r="27" ht="28.8" spans="1:4">
      <c r="A27" s="12" t="s">
        <v>47</v>
      </c>
      <c r="B27" s="13" t="s">
        <v>233</v>
      </c>
      <c r="C27" s="13" t="s">
        <v>234</v>
      </c>
      <c r="D27" s="13" t="s">
        <v>235</v>
      </c>
    </row>
    <row r="28" ht="28.8" customHeight="1" spans="1:4">
      <c r="A28" s="14" t="s">
        <v>55</v>
      </c>
      <c r="B28" s="15" t="s">
        <v>236</v>
      </c>
      <c r="C28" s="15" t="s">
        <v>237</v>
      </c>
      <c r="D28" s="15" t="s">
        <v>238</v>
      </c>
    </row>
    <row r="29" ht="28.8" customHeight="1" spans="1:4">
      <c r="A29" s="14" t="s">
        <v>62</v>
      </c>
      <c r="B29" s="15" t="s">
        <v>236</v>
      </c>
      <c r="C29" s="15" t="s">
        <v>237</v>
      </c>
      <c r="D29" s="15" t="s">
        <v>238</v>
      </c>
    </row>
    <row r="30" ht="28.8" customHeight="1" spans="1:4">
      <c r="A30" s="14" t="s">
        <v>68</v>
      </c>
      <c r="B30" s="15" t="s">
        <v>236</v>
      </c>
      <c r="C30" s="15" t="s">
        <v>237</v>
      </c>
      <c r="D30" s="15" t="s">
        <v>238</v>
      </c>
    </row>
    <row r="31" ht="28.8" customHeight="1" spans="1:4">
      <c r="A31" s="16" t="s">
        <v>74</v>
      </c>
      <c r="B31" s="16" t="s">
        <v>236</v>
      </c>
      <c r="C31" s="16" t="s">
        <v>237</v>
      </c>
      <c r="D31" s="16" t="s">
        <v>238</v>
      </c>
    </row>
    <row r="32" ht="28.8" customHeight="1" spans="1:4">
      <c r="A32" s="16" t="s">
        <v>81</v>
      </c>
      <c r="B32" s="16" t="s">
        <v>236</v>
      </c>
      <c r="C32" s="16" t="s">
        <v>237</v>
      </c>
      <c r="D32" s="16" t="s">
        <v>238</v>
      </c>
    </row>
    <row r="33" ht="28.8" customHeight="1" spans="1:4">
      <c r="A33" s="16" t="s">
        <v>87</v>
      </c>
      <c r="B33" s="16" t="s">
        <v>236</v>
      </c>
      <c r="C33" s="16" t="s">
        <v>237</v>
      </c>
      <c r="D33" s="16" t="s">
        <v>238</v>
      </c>
    </row>
    <row r="34" ht="28.8" customHeight="1" spans="1:4">
      <c r="A34" s="16" t="s">
        <v>93</v>
      </c>
      <c r="B34" s="16" t="s">
        <v>236</v>
      </c>
      <c r="C34" s="16" t="s">
        <v>237</v>
      </c>
      <c r="D34" s="16" t="s">
        <v>238</v>
      </c>
    </row>
    <row r="35" ht="28.8" customHeight="1" spans="1:4">
      <c r="A35" s="16" t="s">
        <v>99</v>
      </c>
      <c r="B35" s="16" t="s">
        <v>236</v>
      </c>
      <c r="C35" s="16" t="s">
        <v>237</v>
      </c>
      <c r="D35" s="16" t="s">
        <v>238</v>
      </c>
    </row>
    <row r="36" ht="28.8" customHeight="1" spans="1:4">
      <c r="A36" s="16" t="s">
        <v>106</v>
      </c>
      <c r="B36" s="16" t="s">
        <v>236</v>
      </c>
      <c r="C36" s="16" t="s">
        <v>237</v>
      </c>
      <c r="D36" s="16" t="s">
        <v>238</v>
      </c>
    </row>
    <row r="37" ht="28.8" customHeight="1" spans="1:4">
      <c r="A37" s="16" t="s">
        <v>112</v>
      </c>
      <c r="B37" s="16" t="s">
        <v>236</v>
      </c>
      <c r="C37" s="16" t="s">
        <v>237</v>
      </c>
      <c r="D37" s="16" t="s">
        <v>238</v>
      </c>
    </row>
    <row r="38" ht="28.8" customHeight="1" spans="1:4">
      <c r="A38" s="16" t="s">
        <v>118</v>
      </c>
      <c r="B38" s="16" t="s">
        <v>236</v>
      </c>
      <c r="C38" s="16" t="s">
        <v>237</v>
      </c>
      <c r="D38" s="16" t="s">
        <v>238</v>
      </c>
    </row>
    <row r="39" ht="28.8" customHeight="1" spans="1:4">
      <c r="A39" s="16" t="s">
        <v>124</v>
      </c>
      <c r="B39" s="16" t="s">
        <v>236</v>
      </c>
      <c r="C39" s="16" t="s">
        <v>237</v>
      </c>
      <c r="D39" s="16" t="s">
        <v>238</v>
      </c>
    </row>
    <row r="40" ht="28.8" customHeight="1" spans="1:4">
      <c r="A40" s="16" t="s">
        <v>130</v>
      </c>
      <c r="B40" s="16" t="s">
        <v>236</v>
      </c>
      <c r="C40" s="16" t="s">
        <v>237</v>
      </c>
      <c r="D40" s="16" t="s">
        <v>238</v>
      </c>
    </row>
    <row r="41" ht="28.8" customHeight="1" spans="1:4">
      <c r="A41" s="16" t="s">
        <v>136</v>
      </c>
      <c r="B41" s="16" t="s">
        <v>236</v>
      </c>
      <c r="C41" s="16" t="s">
        <v>237</v>
      </c>
      <c r="D41" s="16" t="s">
        <v>238</v>
      </c>
    </row>
    <row r="42" ht="28.8" customHeight="1" spans="1:4">
      <c r="A42" s="16" t="s">
        <v>142</v>
      </c>
      <c r="B42" s="16" t="s">
        <v>236</v>
      </c>
      <c r="C42" s="16" t="s">
        <v>237</v>
      </c>
      <c r="D42" s="16" t="s">
        <v>238</v>
      </c>
    </row>
    <row r="43" ht="28.8" customHeight="1" spans="1:4">
      <c r="A43" s="16" t="s">
        <v>148</v>
      </c>
      <c r="B43" s="16" t="s">
        <v>236</v>
      </c>
      <c r="C43" s="16" t="s">
        <v>237</v>
      </c>
      <c r="D43" s="16" t="s">
        <v>238</v>
      </c>
    </row>
  </sheetData>
  <mergeCells count="2">
    <mergeCell ref="A1:D1"/>
    <mergeCell ref="A2:D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0405 Loc</cp:lastModifiedBy>
  <dcterms:created xsi:type="dcterms:W3CDTF">2026-05-31T14:50:27Z</dcterms:created>
  <dcterms:modified xsi:type="dcterms:W3CDTF">2026-05-31T14:51:50Z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3864B94DC8AC48E08885D9312C5D0E7C_13</vt:lpwstr>
  </property>
  <property fmtid="{D5CDD505-2E9C-101B-9397-08002B2CF9AE}" pid="3" name="KSOProductBuildVer">
    <vt:lpwstr>1033-12.1.0.24752</vt:lpwstr>
  </property>
  <property fmtid="{D5CDD505-2E9C-101B-9397-08002B2CF9AE}" pid="4" name="CalculationRule">
    <vt:i4>0</vt:i4>
  </property>
</Properties>
</file>